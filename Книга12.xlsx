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310-02\Desktop\"/>
    </mc:Choice>
  </mc:AlternateContent>
  <xr:revisionPtr revIDLastSave="0" documentId="13_ncr:1_{91E9840B-0DC3-4C29-95E8-6012E233B144}" xr6:coauthVersionLast="36" xr6:coauthVersionMax="36" xr10:uidLastSave="{00000000-0000-0000-0000-000000000000}"/>
  <bookViews>
    <workbookView xWindow="0" yWindow="0" windowWidth="23016" windowHeight="8880" activeTab="1" xr2:uid="{C662039F-BD2A-4545-B854-8328867CB77F}"/>
  </bookViews>
  <sheets>
    <sheet name="Лист1" sheetId="1" r:id="rId1"/>
    <sheet name="Лист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" l="1"/>
  <c r="B16" i="2"/>
  <c r="B15" i="2"/>
  <c r="D16" i="2"/>
  <c r="E16" i="2"/>
  <c r="B23" i="2"/>
  <c r="E23" i="2"/>
  <c r="E10" i="2"/>
  <c r="B24" i="2"/>
  <c r="E24" i="2"/>
  <c r="E22" i="2"/>
  <c r="D22" i="2"/>
  <c r="C22" i="2"/>
  <c r="B22" i="2"/>
  <c r="E21" i="2"/>
  <c r="D21" i="2"/>
  <c r="C21" i="2"/>
  <c r="B21" i="2"/>
  <c r="E17" i="2"/>
  <c r="D17" i="2"/>
  <c r="B17" i="2"/>
  <c r="E14" i="2"/>
  <c r="D14" i="2"/>
  <c r="C14" i="2"/>
  <c r="B14" i="2"/>
  <c r="C17" i="2"/>
  <c r="E15" i="2"/>
  <c r="D15" i="2"/>
  <c r="C15" i="2"/>
  <c r="E11" i="2"/>
  <c r="C11" i="2"/>
  <c r="B11" i="2"/>
  <c r="E9" i="2"/>
  <c r="E8" i="2"/>
  <c r="C9" i="2"/>
  <c r="C8" i="2"/>
  <c r="B9" i="2"/>
  <c r="B10" i="2"/>
  <c r="B8" i="2"/>
  <c r="D11" i="2"/>
  <c r="D9" i="2"/>
  <c r="D8" i="2"/>
  <c r="C10" i="2"/>
  <c r="F4" i="2"/>
  <c r="F3" i="2"/>
  <c r="F2" i="2"/>
  <c r="C23" i="2" l="1"/>
  <c r="D24" i="2"/>
  <c r="C24" i="2"/>
  <c r="D23" i="2"/>
  <c r="D45" i="1"/>
  <c r="C45" i="1"/>
  <c r="D46" i="1"/>
  <c r="C46" i="1"/>
  <c r="D48" i="1"/>
  <c r="C48" i="1"/>
  <c r="B48" i="1"/>
  <c r="B41" i="1"/>
  <c r="D47" i="1"/>
  <c r="C47" i="1"/>
  <c r="B47" i="1"/>
  <c r="B46" i="1"/>
  <c r="B45" i="1"/>
  <c r="B39" i="1"/>
  <c r="B38" i="1"/>
  <c r="D40" i="1"/>
  <c r="C40" i="1"/>
  <c r="B40" i="1"/>
  <c r="E32" i="1"/>
  <c r="E31" i="1"/>
  <c r="E30" i="1"/>
  <c r="C33" i="1"/>
  <c r="D33" i="1" s="1"/>
  <c r="B33" i="1"/>
  <c r="D31" i="1"/>
  <c r="C31" i="1"/>
  <c r="C32" i="1" s="1"/>
  <c r="B31" i="1"/>
  <c r="C30" i="1"/>
  <c r="D30" i="1" s="1"/>
  <c r="D25" i="1"/>
  <c r="B25" i="1"/>
  <c r="D24" i="1"/>
  <c r="B24" i="1"/>
  <c r="D22" i="1"/>
  <c r="B22" i="1"/>
  <c r="D23" i="1"/>
  <c r="C23" i="1"/>
  <c r="C22" i="1" s="1"/>
  <c r="B23" i="1"/>
  <c r="C14" i="1"/>
  <c r="C12" i="1"/>
  <c r="C15" i="1"/>
  <c r="D13" i="1"/>
  <c r="B13" i="1"/>
  <c r="C13" i="1"/>
  <c r="E3" i="1"/>
  <c r="E4" i="1"/>
  <c r="E2" i="1"/>
  <c r="B32" i="1" l="1"/>
  <c r="D32" i="1"/>
  <c r="B30" i="1"/>
  <c r="C25" i="1"/>
  <c r="C24" i="1"/>
</calcChain>
</file>

<file path=xl/sharedStrings.xml><?xml version="1.0" encoding="utf-8"?>
<sst xmlns="http://schemas.openxmlformats.org/spreadsheetml/2006/main" count="89" uniqueCount="14">
  <si>
    <t>Базисные переменные</t>
  </si>
  <si>
    <t>s1</t>
  </si>
  <si>
    <t>s2</t>
  </si>
  <si>
    <t>s3</t>
  </si>
  <si>
    <t>z</t>
  </si>
  <si>
    <t>x1</t>
  </si>
  <si>
    <t>x2</t>
  </si>
  <si>
    <t>Свободные члены</t>
  </si>
  <si>
    <t>БП</t>
  </si>
  <si>
    <t>x3</t>
  </si>
  <si>
    <t>СЧ</t>
  </si>
  <si>
    <t>опорный =5</t>
  </si>
  <si>
    <t>опорный элемент</t>
  </si>
  <si>
    <t>опорный элемент = 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</si>
</sst>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3" borderId="1" xfId="0" applyFill="1" applyBorder="1"/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4" fillId="2" borderId="0" xfId="0" applyFont="1" applyFill="1"/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0" fillId="4" borderId="1" xfId="0" applyFill="1" applyBorder="1"/>
    <xf numFmtId="0" fontId="2" fillId="6" borderId="1" xfId="0" applyFont="1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F4A7-BC0D-4629-97C9-0C847F76534F}">
  <dimension ref="A1:E53"/>
  <sheetViews>
    <sheetView workbookViewId="0">
      <selection activeCell="D47" sqref="D47"/>
    </sheetView>
  </sheetViews>
  <sheetFormatPr defaultRowHeight="14.4" x14ac:dyDescent="0.3"/>
  <cols>
    <col min="1" max="1" width="23.33203125" customWidth="1"/>
    <col min="2" max="2" width="17.109375" customWidth="1"/>
    <col min="3" max="3" width="21.6640625" customWidth="1"/>
    <col min="4" max="4" width="22.88671875" customWidth="1"/>
    <col min="5" max="5" width="18.6640625" customWidth="1"/>
  </cols>
  <sheetData>
    <row r="1" spans="1:5" x14ac:dyDescent="0.3">
      <c r="A1" s="1" t="s">
        <v>0</v>
      </c>
      <c r="B1" s="1" t="s">
        <v>5</v>
      </c>
      <c r="C1" s="1" t="s">
        <v>6</v>
      </c>
      <c r="D1" s="1" t="s">
        <v>7</v>
      </c>
      <c r="E1" s="1"/>
    </row>
    <row r="2" spans="1:5" x14ac:dyDescent="0.3">
      <c r="A2" s="1" t="s">
        <v>1</v>
      </c>
      <c r="B2" s="1">
        <v>5</v>
      </c>
      <c r="C2" s="5">
        <v>5</v>
      </c>
      <c r="D2" s="1">
        <v>60</v>
      </c>
      <c r="E2" s="1">
        <f>D2/C2</f>
        <v>12</v>
      </c>
    </row>
    <row r="3" spans="1:5" x14ac:dyDescent="0.3">
      <c r="A3" s="1" t="s">
        <v>2</v>
      </c>
      <c r="B3" s="5">
        <v>1</v>
      </c>
      <c r="C3" s="3">
        <v>4</v>
      </c>
      <c r="D3" s="5">
        <v>38</v>
      </c>
      <c r="E3" s="5">
        <f t="shared" ref="E3:E4" si="0">D3/C3</f>
        <v>9.5</v>
      </c>
    </row>
    <row r="4" spans="1:5" x14ac:dyDescent="0.3">
      <c r="A4" s="1" t="s">
        <v>3</v>
      </c>
      <c r="B4" s="1">
        <v>3</v>
      </c>
      <c r="C4" s="5">
        <v>4</v>
      </c>
      <c r="D4" s="1">
        <v>42</v>
      </c>
      <c r="E4" s="1">
        <f t="shared" si="0"/>
        <v>10.5</v>
      </c>
    </row>
    <row r="5" spans="1:5" x14ac:dyDescent="0.3">
      <c r="A5" s="1" t="s">
        <v>4</v>
      </c>
      <c r="B5" s="4">
        <v>-100</v>
      </c>
      <c r="C5" s="5">
        <v>-200</v>
      </c>
      <c r="D5" s="1">
        <v>0</v>
      </c>
      <c r="E5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 t="s">
        <v>0</v>
      </c>
      <c r="B11" s="1" t="s">
        <v>5</v>
      </c>
      <c r="C11" s="1" t="s">
        <v>2</v>
      </c>
      <c r="D11" s="1" t="s">
        <v>7</v>
      </c>
      <c r="E11" s="1"/>
    </row>
    <row r="12" spans="1:5" x14ac:dyDescent="0.3">
      <c r="A12" s="1" t="s">
        <v>1</v>
      </c>
      <c r="B12" s="1">
        <v>5</v>
      </c>
      <c r="C12" s="2">
        <f>5*(-C13)</f>
        <v>-1.25</v>
      </c>
      <c r="D12" s="1">
        <v>60</v>
      </c>
      <c r="E12" s="1"/>
    </row>
    <row r="13" spans="1:5" x14ac:dyDescent="0.3">
      <c r="A13" s="1" t="s">
        <v>6</v>
      </c>
      <c r="B13" s="2">
        <f>1*0.25</f>
        <v>0.25</v>
      </c>
      <c r="C13" s="3">
        <f>1/4</f>
        <v>0.25</v>
      </c>
      <c r="D13" s="2">
        <f>38*0.25</f>
        <v>9.5</v>
      </c>
      <c r="E13" s="2"/>
    </row>
    <row r="14" spans="1:5" x14ac:dyDescent="0.3">
      <c r="A14" s="1" t="s">
        <v>3</v>
      </c>
      <c r="B14" s="1">
        <v>3</v>
      </c>
      <c r="C14" s="2">
        <f>4*(-C13)</f>
        <v>-1</v>
      </c>
      <c r="D14" s="1">
        <v>42</v>
      </c>
      <c r="E14" s="1"/>
    </row>
    <row r="15" spans="1:5" x14ac:dyDescent="0.3">
      <c r="A15" s="1" t="s">
        <v>4</v>
      </c>
      <c r="B15" s="4">
        <v>-100</v>
      </c>
      <c r="C15" s="2">
        <f>-200*(-C13)</f>
        <v>50</v>
      </c>
      <c r="D15" s="1">
        <v>0</v>
      </c>
      <c r="E15" s="1"/>
    </row>
    <row r="16" spans="1:5" x14ac:dyDescent="0.3">
      <c r="A16" s="1"/>
      <c r="B16" s="1"/>
      <c r="C16" s="1"/>
      <c r="D16" s="1"/>
      <c r="E16" s="1"/>
    </row>
    <row r="21" spans="1:5" x14ac:dyDescent="0.3">
      <c r="A21" s="1" t="s">
        <v>0</v>
      </c>
      <c r="B21" s="1" t="s">
        <v>5</v>
      </c>
      <c r="C21" s="1" t="s">
        <v>2</v>
      </c>
      <c r="D21" s="1" t="s">
        <v>7</v>
      </c>
      <c r="E21" s="1"/>
    </row>
    <row r="22" spans="1:5" x14ac:dyDescent="0.3">
      <c r="A22" s="1" t="s">
        <v>1</v>
      </c>
      <c r="B22" s="8">
        <f>5+4*C22*B23</f>
        <v>3.75</v>
      </c>
      <c r="C22" s="6">
        <f>5*(-C23)</f>
        <v>-1.25</v>
      </c>
      <c r="D22" s="8">
        <f>60+4*C22*D23</f>
        <v>12.5</v>
      </c>
      <c r="E22" s="1"/>
    </row>
    <row r="23" spans="1:5" x14ac:dyDescent="0.3">
      <c r="A23" s="1" t="s">
        <v>6</v>
      </c>
      <c r="B23" s="6">
        <f>1*0.25</f>
        <v>0.25</v>
      </c>
      <c r="C23" s="7">
        <f>1/4</f>
        <v>0.25</v>
      </c>
      <c r="D23" s="6">
        <f>38*0.25</f>
        <v>9.5</v>
      </c>
      <c r="E23" s="2"/>
    </row>
    <row r="24" spans="1:5" x14ac:dyDescent="0.3">
      <c r="A24" s="1" t="s">
        <v>3</v>
      </c>
      <c r="B24" s="8">
        <f>3+4*C24*B23</f>
        <v>2</v>
      </c>
      <c r="C24" s="6">
        <f>4*(-C23)</f>
        <v>-1</v>
      </c>
      <c r="D24" s="8">
        <f>42+4*C24*D23</f>
        <v>4</v>
      </c>
      <c r="E24" s="1"/>
    </row>
    <row r="25" spans="1:5" x14ac:dyDescent="0.3">
      <c r="A25" s="1" t="s">
        <v>4</v>
      </c>
      <c r="B25" s="9">
        <f>-100+4*B23*C25</f>
        <v>-50</v>
      </c>
      <c r="C25" s="6">
        <f>-200*(-C23)</f>
        <v>50</v>
      </c>
      <c r="D25" s="8">
        <f>0+4*C25*D23</f>
        <v>1900</v>
      </c>
      <c r="E25" s="1"/>
    </row>
    <row r="26" spans="1:5" x14ac:dyDescent="0.3">
      <c r="A26" s="1"/>
      <c r="B26" s="1"/>
      <c r="C26" s="1"/>
      <c r="D26" s="1"/>
      <c r="E26" s="1"/>
    </row>
    <row r="29" spans="1:5" x14ac:dyDescent="0.3">
      <c r="A29" s="1" t="s">
        <v>0</v>
      </c>
      <c r="B29" s="1" t="s">
        <v>5</v>
      </c>
      <c r="C29" s="1" t="s">
        <v>2</v>
      </c>
      <c r="D29" s="1" t="s">
        <v>7</v>
      </c>
      <c r="E29" s="1"/>
    </row>
    <row r="30" spans="1:5" x14ac:dyDescent="0.3">
      <c r="A30" s="1" t="s">
        <v>1</v>
      </c>
      <c r="B30" s="12">
        <f>5+4*C30*B31</f>
        <v>3.75</v>
      </c>
      <c r="C30" s="2">
        <f>5*(-C31)</f>
        <v>-1.25</v>
      </c>
      <c r="D30" s="10">
        <f>60+4*C30*D31</f>
        <v>12.5</v>
      </c>
      <c r="E30" s="1">
        <f>D30/B30</f>
        <v>3.3333333333333335</v>
      </c>
    </row>
    <row r="31" spans="1:5" x14ac:dyDescent="0.3">
      <c r="A31" s="1" t="s">
        <v>6</v>
      </c>
      <c r="B31" s="11">
        <f>1*0.25</f>
        <v>0.25</v>
      </c>
      <c r="C31" s="2">
        <f>1/4</f>
        <v>0.25</v>
      </c>
      <c r="D31" s="2">
        <f>38*0.25</f>
        <v>9.5</v>
      </c>
      <c r="E31" s="2">
        <f>D31/B31</f>
        <v>38</v>
      </c>
    </row>
    <row r="32" spans="1:5" x14ac:dyDescent="0.3">
      <c r="A32" s="1" t="s">
        <v>3</v>
      </c>
      <c r="B32" s="3">
        <f>3+4*C32*B31</f>
        <v>2</v>
      </c>
      <c r="C32" s="11">
        <f>4*(-C31)</f>
        <v>-1</v>
      </c>
      <c r="D32" s="12">
        <f>42+4*C32*D31</f>
        <v>4</v>
      </c>
      <c r="E32" s="1">
        <f>D32/2</f>
        <v>2</v>
      </c>
    </row>
    <row r="33" spans="1:5" x14ac:dyDescent="0.3">
      <c r="A33" s="1" t="s">
        <v>4</v>
      </c>
      <c r="B33" s="11">
        <f>-100+4*B31*C33</f>
        <v>-50</v>
      </c>
      <c r="C33" s="2">
        <f>-200*(-C31)</f>
        <v>50</v>
      </c>
      <c r="D33" s="10">
        <f>0+4*C33*D31</f>
        <v>1900</v>
      </c>
      <c r="E33" s="1"/>
    </row>
    <row r="34" spans="1:5" x14ac:dyDescent="0.3">
      <c r="A34" s="1"/>
      <c r="B34" s="1"/>
      <c r="C34" s="1"/>
      <c r="D34" s="1"/>
      <c r="E34" s="1"/>
    </row>
    <row r="37" spans="1:5" x14ac:dyDescent="0.3">
      <c r="A37" s="1" t="s">
        <v>0</v>
      </c>
      <c r="B37" s="1" t="s">
        <v>3</v>
      </c>
      <c r="C37" s="1" t="s">
        <v>2</v>
      </c>
      <c r="D37" s="1" t="s">
        <v>7</v>
      </c>
      <c r="E37" s="1"/>
    </row>
    <row r="38" spans="1:5" x14ac:dyDescent="0.3">
      <c r="A38" s="1" t="s">
        <v>1</v>
      </c>
      <c r="B38" s="12">
        <f>3.75*(-0.5)</f>
        <v>-1.875</v>
      </c>
      <c r="C38" s="2">
        <v>-1.25</v>
      </c>
      <c r="D38" s="10">
        <v>12.5</v>
      </c>
      <c r="E38" s="1"/>
    </row>
    <row r="39" spans="1:5" x14ac:dyDescent="0.3">
      <c r="A39" s="1" t="s">
        <v>6</v>
      </c>
      <c r="B39" s="11">
        <f>0.25*(-B40)</f>
        <v>-0.125</v>
      </c>
      <c r="C39" s="2">
        <v>0.25</v>
      </c>
      <c r="D39" s="2">
        <v>9.5</v>
      </c>
      <c r="E39" s="2"/>
    </row>
    <row r="40" spans="1:5" x14ac:dyDescent="0.3">
      <c r="A40" s="1" t="s">
        <v>5</v>
      </c>
      <c r="B40" s="3">
        <f>1/2</f>
        <v>0.5</v>
      </c>
      <c r="C40" s="11">
        <f>-1*0.5</f>
        <v>-0.5</v>
      </c>
      <c r="D40" s="12">
        <f>4*0.5</f>
        <v>2</v>
      </c>
      <c r="E40" s="1"/>
    </row>
    <row r="41" spans="1:5" x14ac:dyDescent="0.3">
      <c r="A41" s="1" t="s">
        <v>4</v>
      </c>
      <c r="B41" s="11">
        <f>-50*(-B40)</f>
        <v>25</v>
      </c>
      <c r="C41" s="2">
        <v>50</v>
      </c>
      <c r="D41" s="10">
        <v>1900</v>
      </c>
      <c r="E41" s="1"/>
    </row>
    <row r="42" spans="1:5" x14ac:dyDescent="0.3">
      <c r="A42" s="1"/>
      <c r="B42" s="1"/>
      <c r="C42" s="1"/>
      <c r="D42" s="1"/>
      <c r="E42" s="1"/>
    </row>
    <row r="44" spans="1:5" x14ac:dyDescent="0.3">
      <c r="A44" s="1" t="s">
        <v>0</v>
      </c>
      <c r="B44" s="1" t="s">
        <v>3</v>
      </c>
      <c r="C44" s="1" t="s">
        <v>2</v>
      </c>
      <c r="D44" s="1" t="s">
        <v>7</v>
      </c>
      <c r="E44" s="1"/>
    </row>
    <row r="45" spans="1:5" x14ac:dyDescent="0.3">
      <c r="A45" s="1" t="s">
        <v>1</v>
      </c>
      <c r="B45" s="12">
        <f>3.75*(-0.5)</f>
        <v>-1.875</v>
      </c>
      <c r="C45" s="9">
        <f>-1.25+2*B45*C47</f>
        <v>0.625</v>
      </c>
      <c r="D45" s="8">
        <f>12.5+2*B45*D47</f>
        <v>5</v>
      </c>
      <c r="E45" s="1"/>
    </row>
    <row r="46" spans="1:5" x14ac:dyDescent="0.3">
      <c r="A46" s="1" t="s">
        <v>6</v>
      </c>
      <c r="B46" s="11">
        <f>0.25*(-B47)</f>
        <v>-0.125</v>
      </c>
      <c r="C46" s="9">
        <f>0.25+2*B46*C47</f>
        <v>0.375</v>
      </c>
      <c r="D46" s="9">
        <f>9.5+2*B46*D47</f>
        <v>9</v>
      </c>
      <c r="E46" s="2"/>
    </row>
    <row r="47" spans="1:5" x14ac:dyDescent="0.3">
      <c r="A47" s="1" t="s">
        <v>5</v>
      </c>
      <c r="B47" s="3">
        <f>1/2</f>
        <v>0.5</v>
      </c>
      <c r="C47" s="11">
        <f>-1*0.5</f>
        <v>-0.5</v>
      </c>
      <c r="D47" s="12">
        <f>4*0.5</f>
        <v>2</v>
      </c>
      <c r="E47" s="1"/>
    </row>
    <row r="48" spans="1:5" x14ac:dyDescent="0.3">
      <c r="A48" s="1" t="s">
        <v>4</v>
      </c>
      <c r="B48" s="11">
        <f>-50*(-B47)</f>
        <v>25</v>
      </c>
      <c r="C48" s="9">
        <f>50+2*B48*C47</f>
        <v>25</v>
      </c>
      <c r="D48" s="8">
        <f>1900+2*B48*D47</f>
        <v>2000</v>
      </c>
      <c r="E48" s="1"/>
    </row>
    <row r="52" spans="1:3" x14ac:dyDescent="0.3">
      <c r="A52" t="s">
        <v>5</v>
      </c>
      <c r="B52">
        <v>2</v>
      </c>
      <c r="C52">
        <v>200</v>
      </c>
    </row>
    <row r="53" spans="1:3" x14ac:dyDescent="0.3">
      <c r="A53" t="s">
        <v>6</v>
      </c>
      <c r="B53">
        <v>9</v>
      </c>
      <c r="C53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95D8-9F90-4268-98AA-D3383160D779}">
  <dimension ref="A1:J24"/>
  <sheetViews>
    <sheetView tabSelected="1" workbookViewId="0">
      <selection activeCell="H14" sqref="H14"/>
    </sheetView>
  </sheetViews>
  <sheetFormatPr defaultRowHeight="14.4" x14ac:dyDescent="0.3"/>
  <sheetData>
    <row r="1" spans="1:8" x14ac:dyDescent="0.3">
      <c r="A1" t="s">
        <v>8</v>
      </c>
      <c r="B1" t="s">
        <v>5</v>
      </c>
      <c r="C1" t="s">
        <v>6</v>
      </c>
      <c r="D1" t="s">
        <v>9</v>
      </c>
      <c r="E1" t="s">
        <v>10</v>
      </c>
    </row>
    <row r="2" spans="1:8" x14ac:dyDescent="0.3">
      <c r="A2" t="s">
        <v>1</v>
      </c>
      <c r="B2">
        <v>2</v>
      </c>
      <c r="C2">
        <v>4</v>
      </c>
      <c r="D2" s="14">
        <v>3</v>
      </c>
      <c r="E2">
        <v>40</v>
      </c>
      <c r="F2">
        <f>E2/D2</f>
        <v>13.333333333333334</v>
      </c>
    </row>
    <row r="3" spans="1:8" x14ac:dyDescent="0.3">
      <c r="A3" t="s">
        <v>2</v>
      </c>
      <c r="B3">
        <v>1</v>
      </c>
      <c r="C3">
        <v>3</v>
      </c>
      <c r="D3" s="14">
        <v>2</v>
      </c>
      <c r="E3">
        <v>25</v>
      </c>
      <c r="F3">
        <f>25/D3</f>
        <v>12.5</v>
      </c>
      <c r="H3" t="s">
        <v>11</v>
      </c>
    </row>
    <row r="4" spans="1:8" x14ac:dyDescent="0.3">
      <c r="A4" t="s">
        <v>3</v>
      </c>
      <c r="B4">
        <v>3</v>
      </c>
      <c r="C4">
        <v>2</v>
      </c>
      <c r="D4" s="14">
        <v>5</v>
      </c>
      <c r="E4">
        <v>60</v>
      </c>
      <c r="F4">
        <f>60/D4</f>
        <v>12</v>
      </c>
    </row>
    <row r="5" spans="1:8" x14ac:dyDescent="0.3">
      <c r="A5" t="s">
        <v>4</v>
      </c>
      <c r="B5">
        <v>-15</v>
      </c>
      <c r="C5">
        <v>-20</v>
      </c>
      <c r="D5" s="13">
        <v>-25</v>
      </c>
      <c r="E5">
        <v>0</v>
      </c>
    </row>
    <row r="7" spans="1:8" x14ac:dyDescent="0.3">
      <c r="A7" t="s">
        <v>8</v>
      </c>
      <c r="B7" t="s">
        <v>5</v>
      </c>
      <c r="C7" t="s">
        <v>6</v>
      </c>
      <c r="D7" t="s">
        <v>3</v>
      </c>
      <c r="E7" t="s">
        <v>10</v>
      </c>
    </row>
    <row r="8" spans="1:8" x14ac:dyDescent="0.3">
      <c r="A8" t="s">
        <v>1</v>
      </c>
      <c r="B8" s="17">
        <f>2+5*D8*B10</f>
        <v>0.19999999999999951</v>
      </c>
      <c r="C8" s="18">
        <f>4+5*C10*D8</f>
        <v>2.8</v>
      </c>
      <c r="D8" s="16">
        <f>3*(-D10)</f>
        <v>-0.60000000000000009</v>
      </c>
      <c r="E8" s="18">
        <f>40+5*D8*E10</f>
        <v>3.9999999999999929</v>
      </c>
    </row>
    <row r="9" spans="1:8" x14ac:dyDescent="0.3">
      <c r="A9" t="s">
        <v>2</v>
      </c>
      <c r="B9" s="18">
        <f>1+5*B10*D9</f>
        <v>-0.20000000000000018</v>
      </c>
      <c r="C9" s="18">
        <f>3+5*C10*D9</f>
        <v>2.2000000000000002</v>
      </c>
      <c r="D9" s="16">
        <f>2*(-D10)</f>
        <v>-0.4</v>
      </c>
      <c r="E9" s="18">
        <f>25+5*D9*E10</f>
        <v>1</v>
      </c>
    </row>
    <row r="10" spans="1:8" x14ac:dyDescent="0.3">
      <c r="A10" t="s">
        <v>9</v>
      </c>
      <c r="B10" s="15">
        <f>3*D10</f>
        <v>0.60000000000000009</v>
      </c>
      <c r="C10" s="15">
        <f>2*D10</f>
        <v>0.4</v>
      </c>
      <c r="D10" s="16">
        <v>0.2</v>
      </c>
      <c r="E10" s="15">
        <f>60*D10</f>
        <v>12</v>
      </c>
    </row>
    <row r="11" spans="1:8" x14ac:dyDescent="0.3">
      <c r="A11" t="s">
        <v>4</v>
      </c>
      <c r="B11" s="18">
        <f>-15+5*B10*D11</f>
        <v>0</v>
      </c>
      <c r="C11" s="18">
        <f>-20+5*C10*D11</f>
        <v>-10</v>
      </c>
      <c r="D11" s="15">
        <f>-25*(-D10)</f>
        <v>5</v>
      </c>
      <c r="E11" s="18">
        <f>0+5*D11*E10</f>
        <v>300</v>
      </c>
    </row>
    <row r="13" spans="1:8" x14ac:dyDescent="0.3">
      <c r="A13" t="s">
        <v>8</v>
      </c>
      <c r="B13" t="s">
        <v>5</v>
      </c>
      <c r="C13" t="s">
        <v>2</v>
      </c>
      <c r="D13" t="s">
        <v>3</v>
      </c>
      <c r="E13" t="s">
        <v>10</v>
      </c>
    </row>
    <row r="14" spans="1:8" x14ac:dyDescent="0.3">
      <c r="A14" t="s">
        <v>1</v>
      </c>
      <c r="B14" s="20">
        <f>0.2+2.2*B15*C14</f>
        <v>0.45454545454545459</v>
      </c>
      <c r="C14" s="19">
        <f>2.8*(-C15)</f>
        <v>-1.2727272727272727</v>
      </c>
      <c r="D14" s="20">
        <f>-0.6+2.2*C14*D15</f>
        <v>-9.0909090909090828E-2</v>
      </c>
      <c r="E14" s="21">
        <f>4+2.2*C14*E15</f>
        <v>2.7272727272727275</v>
      </c>
    </row>
    <row r="15" spans="1:8" x14ac:dyDescent="0.3">
      <c r="A15" t="s">
        <v>6</v>
      </c>
      <c r="B15" s="19">
        <f>-0.2*C15</f>
        <v>-9.0909090909090912E-2</v>
      </c>
      <c r="C15" s="19">
        <f>1/2.2</f>
        <v>0.45454545454545453</v>
      </c>
      <c r="D15" s="6">
        <f>-0.4*C15</f>
        <v>-0.18181818181818182</v>
      </c>
      <c r="E15" s="19">
        <f>1*C15</f>
        <v>0.45454545454545453</v>
      </c>
      <c r="H15" t="s">
        <v>13</v>
      </c>
    </row>
    <row r="16" spans="1:8" x14ac:dyDescent="0.3">
      <c r="A16" t="s">
        <v>9</v>
      </c>
      <c r="B16" s="21">
        <f>-0.6+2.2*B15*C16</f>
        <v>-0.5636363636363636</v>
      </c>
      <c r="C16" s="19">
        <f>0.4*(-C15)</f>
        <v>-0.18181818181818182</v>
      </c>
      <c r="D16" s="20">
        <f>0.2+2.2*C16*D15</f>
        <v>0.27272727272727276</v>
      </c>
      <c r="E16" s="21">
        <f>12+2.2*C16*E15</f>
        <v>11.818181818181818</v>
      </c>
    </row>
    <row r="17" spans="1:10" x14ac:dyDescent="0.3">
      <c r="A17" t="s">
        <v>4</v>
      </c>
      <c r="B17" s="21">
        <f>0+2.2*B15*C17</f>
        <v>-0.90909090909090906</v>
      </c>
      <c r="C17" s="19">
        <f>-10*(-C15)</f>
        <v>4.545454545454545</v>
      </c>
      <c r="D17" s="21">
        <f>5+2.2*C17*D15</f>
        <v>3.1818181818181817</v>
      </c>
      <c r="E17" s="21">
        <f>300+2.2*C17*E15</f>
        <v>304.54545454545456</v>
      </c>
    </row>
    <row r="20" spans="1:10" x14ac:dyDescent="0.3">
      <c r="A20" s="1" t="s">
        <v>8</v>
      </c>
      <c r="B20" s="1" t="s">
        <v>1</v>
      </c>
      <c r="C20" s="1" t="s">
        <v>2</v>
      </c>
      <c r="D20" s="1" t="s">
        <v>3</v>
      </c>
      <c r="E20" s="1" t="s">
        <v>10</v>
      </c>
      <c r="F20" s="1"/>
    </row>
    <row r="21" spans="1:10" x14ac:dyDescent="0.3">
      <c r="A21" s="1" t="s">
        <v>5</v>
      </c>
      <c r="B21" s="19">
        <f>1/0.454545454545455</f>
        <v>2.199999999999998</v>
      </c>
      <c r="C21" s="19">
        <f>-1.27272727272727*B21</f>
        <v>-2.7999999999999914</v>
      </c>
      <c r="D21" s="19">
        <f>-0.0909090909090908*B21</f>
        <v>-0.19999999999999957</v>
      </c>
      <c r="E21" s="19">
        <f>2.72727272727273*B21</f>
        <v>6.0000000000000009</v>
      </c>
      <c r="F21" s="1"/>
    </row>
    <row r="22" spans="1:10" x14ac:dyDescent="0.3">
      <c r="A22" s="1" t="s">
        <v>6</v>
      </c>
      <c r="B22" s="19">
        <f>-0.0909090909090909*(-B21)</f>
        <v>0.19999999999999979</v>
      </c>
      <c r="C22" s="1">
        <f>0.454545454545455+J22*B22*C21</f>
        <v>0.20000000000000145</v>
      </c>
      <c r="D22" s="1">
        <f>-0.181818181818182+J23*B22*D21</f>
        <v>-0.18181818181818199</v>
      </c>
      <c r="E22" s="1">
        <f>0.454545454545455+J22*B22*E21</f>
        <v>1</v>
      </c>
      <c r="F22" s="1"/>
      <c r="H22" t="s">
        <v>12</v>
      </c>
      <c r="J22" s="19">
        <v>0.45454545454545459</v>
      </c>
    </row>
    <row r="23" spans="1:10" x14ac:dyDescent="0.3">
      <c r="A23" s="1" t="s">
        <v>9</v>
      </c>
      <c r="B23" s="19">
        <f>-0.563636363636364*(-B21)</f>
        <v>1.2399999999999998</v>
      </c>
      <c r="C23" s="10">
        <f>-0.181818181818182+J22*B23*C21</f>
        <v>-1.7599999999999953</v>
      </c>
      <c r="D23" s="10">
        <f>0.272727272727273+J22*B23*D21</f>
        <v>0.1600000000000005</v>
      </c>
      <c r="E23" s="10">
        <f>11.8181818181818+J22*B23*E21</f>
        <v>15.199999999999983</v>
      </c>
      <c r="F23" s="1"/>
    </row>
    <row r="24" spans="1:10" x14ac:dyDescent="0.3">
      <c r="A24" s="1" t="s">
        <v>4</v>
      </c>
      <c r="B24" s="19">
        <f>-0.909090909090909*(-B21)</f>
        <v>1.9999999999999978</v>
      </c>
      <c r="C24" s="1">
        <f>4.54545454545454+J22*B24*C21</f>
        <v>2.0000000000000044</v>
      </c>
      <c r="D24" s="1">
        <f>3.18181818181818+J22*B24*D21</f>
        <v>2.9999999999999987</v>
      </c>
      <c r="E24" s="1">
        <f>304.545454545455+J22*B24*E21</f>
        <v>310.00000000000045</v>
      </c>
      <c r="F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st310-12</dc:creator>
  <cp:lastModifiedBy>st310-02</cp:lastModifiedBy>
  <dcterms:created xsi:type="dcterms:W3CDTF">2023-10-31T10:07:57Z</dcterms:created>
  <dcterms:modified xsi:type="dcterms:W3CDTF">2023-11-02T12:08:03Z</dcterms:modified>
</cp:coreProperties>
</file>